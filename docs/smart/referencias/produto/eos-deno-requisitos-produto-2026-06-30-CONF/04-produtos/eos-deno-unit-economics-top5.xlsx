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" sheetId="1" state="visible" r:id="rId3"/>
    <sheet name="Premissas" sheetId="2" state="visible" r:id="rId4"/>
    <sheet name="Unit Economics" sheetId="3" state="visible" r:id="rId5"/>
    <sheet name="Leitur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<sst xmlns="http://schemas.openxmlformats.org/spreadsheetml/2006/main" count="225" uniqueCount="133">
  <si>
    <t xml:space="preserve">EOS-DENO · Ranking dos 14 produtos (probabilidade de aderência × receita · BR)</t>
  </si>
  <si>
    <t xml:space="preserve">Notas de aderência e receita são julgamento [H], escala 1–5. Score = Prob × Receita. Top 5 destacados. Eixos: aderência = chance de PMF no BR hoje; receita = potencial de receita BR.</t>
  </si>
  <si>
    <t xml:space="preserve">#</t>
  </si>
  <si>
    <t xml:space="preserve">Produto</t>
  </si>
  <si>
    <t xml:space="preserve">Fundação</t>
  </si>
  <si>
    <t xml:space="preserve">Prob. aderência BR [H]</t>
  </si>
  <si>
    <t xml:space="preserve">Potencial receita BR [H]</t>
  </si>
  <si>
    <t xml:space="preserve">Score</t>
  </si>
  <si>
    <t xml:space="preserve">Tier</t>
  </si>
  <si>
    <t xml:space="preserve">Seleção</t>
  </si>
  <si>
    <t xml:space="preserve">P2 · EOS GD</t>
  </si>
  <si>
    <t xml:space="preserve">SW</t>
  </si>
  <si>
    <t xml:space="preserve">T1</t>
  </si>
  <si>
    <t xml:space="preserve">✓ TOP 5</t>
  </si>
  <si>
    <t xml:space="preserve">P1 · EOS Integrador</t>
  </si>
  <si>
    <t xml:space="preserve">P4 · EOS OS (licença)</t>
  </si>
  <si>
    <t xml:space="preserve">T1.5</t>
  </si>
  <si>
    <t xml:space="preserve">P5 · EOS Meter MaaS</t>
  </si>
  <si>
    <t xml:space="preserve">HW</t>
  </si>
  <si>
    <t xml:space="preserve">P7 · EOS Canal</t>
  </si>
  <si>
    <t xml:space="preserve">SW⊕HW</t>
  </si>
  <si>
    <t xml:space="preserve">P6 · EOS Hub</t>
  </si>
  <si>
    <t xml:space="preserve">≈ 6º (empate)</t>
  </si>
  <si>
    <t xml:space="preserve">P8 · EOS ACL</t>
  </si>
  <si>
    <t xml:space="preserve">T2</t>
  </si>
  <si>
    <t xml:space="preserve">P9 · EOS Comercializadora</t>
  </si>
  <si>
    <t xml:space="preserve">SW→Reg</t>
  </si>
  <si>
    <t xml:space="preserve">P3 · EOS Consumo</t>
  </si>
  <si>
    <t xml:space="preserve">P10 · EOS Grid</t>
  </si>
  <si>
    <t xml:space="preserve">T2/T3</t>
  </si>
  <si>
    <t xml:space="preserve">P11 · EOS Flex / VPP</t>
  </si>
  <si>
    <t xml:space="preserve">T3</t>
  </si>
  <si>
    <t xml:space="preserve">P12 · EOS Dados</t>
  </si>
  <si>
    <t xml:space="preserve">P14 · EOS P2P</t>
  </si>
  <si>
    <t xml:space="preserve">P13 · EOS Agentes (habilitador)</t>
  </si>
  <si>
    <t xml:space="preserve">n/a</t>
  </si>
  <si>
    <t xml:space="preserve">habilitador</t>
  </si>
  <si>
    <t xml:space="preserve">Empate em 12 (P5, P6, P7): escolhidos P5 (hardware-licenciamento, modelo Intellihub) e P7 (alavanca empresa-âncora). P6 é o 6º imediato.</t>
  </si>
  <si>
    <t xml:space="preserve">EOS-DENO · Premissas de unit economics (top 5 produtos)</t>
  </si>
  <si>
    <t xml:space="preserve">Toda linha carrega rótulo. [F] fato c/ fonte · [E] estimativa fundamentada · [H] hipótese · [INPUT] placeholder ilustrativo. Valores em azul são entradas (editáveis p/ cenário). Fundo amarelo = entrada que precisa de validação em deep-dive.</t>
  </si>
  <si>
    <t xml:space="preserve">Parâmetro</t>
  </si>
  <si>
    <t xml:space="preserve">Valor</t>
  </si>
  <si>
    <t xml:space="preserve">Unid.</t>
  </si>
  <si>
    <t xml:space="preserve">Rótulo</t>
  </si>
  <si>
    <t xml:space="preserve">Fonte / Racional</t>
  </si>
  <si>
    <t xml:space="preserve">P1 Integrador</t>
  </si>
  <si>
    <t xml:space="preserve">ARPU</t>
  </si>
  <si>
    <t xml:space="preserve">R$/integrador/mês</t>
  </si>
  <si>
    <t xml:space="preserve">INPUT</t>
  </si>
  <si>
    <t xml:space="preserve">Faixa R$200–1.500/mês (REV-01 R-01); ponto conservador-médio</t>
  </si>
  <si>
    <t xml:space="preserve">Margem bruta</t>
  </si>
  <si>
    <t xml:space="preserve">%</t>
  </si>
  <si>
    <t xml:space="preserve">E</t>
  </si>
  <si>
    <t xml:space="preserve">SaaS típico</t>
  </si>
  <si>
    <t xml:space="preserve">Churn mensal</t>
  </si>
  <si>
    <t xml:space="preserve">B2B SaaS de nicho</t>
  </si>
  <si>
    <t xml:space="preserve">CAC</t>
  </si>
  <si>
    <t xml:space="preserve">R$/integrador</t>
  </si>
  <si>
    <t xml:space="preserve">Venda + onboarding B2B</t>
  </si>
  <si>
    <t xml:space="preserve">P2 GD</t>
  </si>
  <si>
    <t xml:space="preserve">R$/UC/mês</t>
  </si>
  <si>
    <t xml:space="preserve">Faixa R$2–6/UC/mês (REV-01 R-06)</t>
  </si>
  <si>
    <t xml:space="preserve">SaaS</t>
  </si>
  <si>
    <t xml:space="preserve">Churn da gestora (cliente) baixo; UCs flutuam</t>
  </si>
  <si>
    <t xml:space="preserve">R$/UC</t>
  </si>
  <si>
    <t xml:space="preserve">Aquisição em lote via gestora</t>
  </si>
  <si>
    <t xml:space="preserve">P4 OS-licença</t>
  </si>
  <si>
    <t xml:space="preserve">Preço anual</t>
  </si>
  <si>
    <t xml:space="preserve">R$/UC/ano</t>
  </si>
  <si>
    <t xml:space="preserve">Faixa R$8–35; Kraken US$7,1≈R$35 [F] c/ deflator ~50% → [E]</t>
  </si>
  <si>
    <t xml:space="preserve">Licenciamento de software</t>
  </si>
  <si>
    <t xml:space="preserve">≈8%/ano; licença enterprise sticky</t>
  </si>
  <si>
    <t xml:space="preserve">Amortizado sobre deal — ALTAMENTE sensível ao tamanho do deal</t>
  </si>
  <si>
    <t xml:space="preserve">P5 Meter MaaS</t>
  </si>
  <si>
    <t xml:space="preserve">Fee</t>
  </si>
  <si>
    <t xml:space="preserve">R$/medidor/mês</t>
  </si>
  <si>
    <t xml:space="preserve">Análogo Intellihub (metering AU) c/ deflator BR → [E]</t>
  </si>
  <si>
    <t xml:space="preserve">Inclui amortização de hardware + comms + ops — NÃO é margem de SaaS</t>
  </si>
  <si>
    <t xml:space="preserve">Contrato de varejista multi-ano</t>
  </si>
  <si>
    <t xml:space="preserve">R$/medidor</t>
  </si>
  <si>
    <t xml:space="preserve">Device FOB ~R$190 [E] + instalação + aquisição (CapEx de hardware)</t>
  </si>
  <si>
    <t xml:space="preserve">P7 Canal</t>
  </si>
  <si>
    <t xml:space="preserve">Deals/ano por integrador</t>
  </si>
  <si>
    <t xml:space="preserve">deals/ano</t>
  </si>
  <si>
    <t xml:space="preserve">Fluxo estimado por integrador ativo</t>
  </si>
  <si>
    <t xml:space="preserve">Ticket médio financiado</t>
  </si>
  <si>
    <t xml:space="preserve">R$/deal</t>
  </si>
  <si>
    <t xml:space="preserve">Ticket médio de FV residencial</t>
  </si>
  <si>
    <t xml:space="preserve">Take de originação</t>
  </si>
  <si>
    <t xml:space="preserve">Faixa 1–4% do financiado (REV-01 R-07)</t>
  </si>
  <si>
    <t xml:space="preserve">Take-rate (capital-light)</t>
  </si>
  <si>
    <t xml:space="preserve">Relação de canal</t>
  </si>
  <si>
    <t xml:space="preserve">Compartilhado com P1</t>
  </si>
  <si>
    <t xml:space="preserve">EOS-DENO · Unit Economics (top 5 produtos) — modelo ilustrativo</t>
  </si>
  <si>
    <t xml:space="preserve">Entradas (verde) puxam da aba Premissas; métricas (preto) são fórmulas. Régua da skill: LTV:CAC ≥ 3,0x e payback &lt; 12 meses. Modelo de demonstração — números a validar (ver aba Leitura).</t>
  </si>
  <si>
    <t xml:space="preserve">Métrica</t>
  </si>
  <si>
    <t xml:space="preserve">P1
EOS Integrador</t>
  </si>
  <si>
    <t xml:space="preserve">P2
EOS GD</t>
  </si>
  <si>
    <t xml:space="preserve">P4
EOS OS (licença)</t>
  </si>
  <si>
    <t xml:space="preserve">P5
EOS Meter MaaS</t>
  </si>
  <si>
    <t xml:space="preserve">P7
EOS Canal</t>
  </si>
  <si>
    <t xml:space="preserve">Fundação · modelo</t>
  </si>
  <si>
    <t xml:space="preserve">SW · SaaS</t>
  </si>
  <si>
    <t xml:space="preserve">SW · licença</t>
  </si>
  <si>
    <t xml:space="preserve">HW · MaaS</t>
  </si>
  <si>
    <t xml:space="preserve">⊕ · take-rate</t>
  </si>
  <si>
    <t xml:space="preserve">Unidade de cobrança</t>
  </si>
  <si>
    <t xml:space="preserve">por integrador</t>
  </si>
  <si>
    <t xml:space="preserve">por UC</t>
  </si>
  <si>
    <t xml:space="preserve">por medidor</t>
  </si>
  <si>
    <t xml:space="preserve">ARPU mensal</t>
  </si>
  <si>
    <t xml:space="preserve">Tempo de vida (meses)</t>
  </si>
  <si>
    <t xml:space="preserve">LTV</t>
  </si>
  <si>
    <t xml:space="preserve">LTV : CAC</t>
  </si>
  <si>
    <t xml:space="preserve">Payback (meses)</t>
  </si>
  <si>
    <t xml:space="preserve">Veredito (≥3x e &lt;12m)</t>
  </si>
  <si>
    <t xml:space="preserve">EOS-DENO · Leitura crítica do modelo (o que estes números dizem — e não dizem)</t>
  </si>
  <si>
    <t xml:space="preserve">Natureza do modelo</t>
  </si>
  <si>
    <t xml:space="preserve">Demonstração. A maioria das entradas é [INPUT]/[E], não [F]. O valor está na ESTRUTURA e na SENSIBILIDADE, não nos outputs precisos. Deep-dive de PMF/receita/risco fica para sessões futuras (combinado).</t>
  </si>
  <si>
    <t xml:space="preserve">★ Achado P5 (Meter MaaS) NÃO é SaaS</t>
  </si>
  <si>
    <t xml:space="preserve">Sob estas entradas: LTV:CAC ~1,4x e payback ~69 meses (~5–6 anos). É economia de INFRAESTRUTURA, não de software: o CapEx do medidor (~R$250) é pago contra um fee fino (R$8/mês). A Intellihub financia isso com ~A$3 bilhões em green loans [F] — o modelo monetiza, mas com ROI de infra e capital barato, não com margem de SaaS. É o risco mais agudo do portfólio de hardware.</t>
  </si>
  <si>
    <t xml:space="preserve">Banana-com-banana em P5</t>
  </si>
  <si>
    <t xml:space="preserve">A aderência da Intellihub é num mercado (Austrália) com rollout de smart meter MANDATADO. O Brasil não tem mandato [F] → adoção voluntária + necessidade de financiamento. A analogia do MODELO não transfere o TIMING nem o custo de capital.</t>
  </si>
  <si>
    <t xml:space="preserve">Achado P4 (licença OS)</t>
  </si>
  <si>
    <t xml:space="preserve">O LTV:CAC e o payback dependem fortemente do tamanho do deal (CAC por UC amortizado). A R$10/UC de CAC, fecha bem (estilo Kraken a escala). Sub-escala, o CAC por UC explode e não fecha. A nota [INPUT] esconde essa alavanca — modelar por faixa de tamanho de deal no deep-dive.</t>
  </si>
  <si>
    <t xml:space="preserve">Produtos que fecham na régua</t>
  </si>
  <si>
    <t xml:space="preserve">P1, P2, P4 e P7 passam (LTV:CAC ≥3x e payback &lt;12m) sob estas entradas. P5 não passa — por desenho do modelo, que revela sua natureza de infra. Isso é sinal, não erro.</t>
  </si>
  <si>
    <t xml:space="preserve">P7 (Canal) é o mais lucrativo no papel</t>
  </si>
  <si>
    <t xml:space="preserve">Take-rate sobre o fluxo da empresa-âncora é capital-light e alta margem (LTV:CAC ~35x). Mas é o mais [INPUT]-dependente (deals/ano e ticket são suposições) e parte é one-off por deal — success fee financia CAC, não constitui PMF sozinho (heurística da skill).</t>
  </si>
  <si>
    <t xml:space="preserve">Caso-base é bootstrap</t>
  </si>
  <si>
    <t xml:space="preserve">Estes números não assumem capital externo — EXCETO P5, que estruturalmente exige financiamento de hardware. Tratar P5 como linha de negócio com lógica de project finance, separada das demais.</t>
  </si>
  <si>
    <t xml:space="preserve">Próximo passo de validação</t>
  </si>
  <si>
    <t xml:space="preserve">3 conversas reais de pricing por produto (varejista p/ P4; gestora p/ P2; integrador p/ P1/P7; varejista/DSO p/ P5) substituem [INPUT] por [E]/[F]. Sem isso, o modelo é hipótese estruturada, não evidência.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</si>
</sst>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&quot;R$ &quot;#,##0;&quot;(R$ &quot;#,##0\);\-"/>
    <numFmt numFmtId="167" formatCode="0.0%"/>
    <numFmt numFmtId="168" formatCode="&quot;R$ &quot;#,##0.00"/>
    <numFmt numFmtId="169" formatCode="0.0\x"/>
    <numFmt numFmtId="170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2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A2E"/>
      <name val="Arial"/>
      <family val="0"/>
      <charset val="1"/>
    </font>
    <font>
      <sz val="10"/>
      <color rgb="FF3333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F54"/>
        <bgColor rgb="FF595959"/>
      </patternFill>
    </fill>
    <fill>
      <patternFill patternType="solid">
        <fgColor rgb="FFEAF2EF"/>
        <bgColor rgb="FFFFE8D6"/>
      </patternFill>
    </fill>
    <fill>
      <patternFill patternType="solid">
        <fgColor rgb="FFFFFF99"/>
        <bgColor rgb="FFFFE8D6"/>
      </patternFill>
    </fill>
    <fill>
      <patternFill patternType="solid">
        <fgColor rgb="FFFFE8D6"/>
        <bgColor rgb="FFEAF2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5F54"/>
      <rgbColor rgb="FFC0C0C0"/>
      <rgbColor rgb="FF808080"/>
      <rgbColor rgb="FF9999FF"/>
      <rgbColor rgb="FF993366"/>
      <rgbColor rgb="FFFFE8D6"/>
      <rgbColor rgb="FFEAF2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3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s">
        <v>10</v>
      </c>
      <c r="C5" s="4" t="s">
        <v>11</v>
      </c>
      <c r="D5" s="6" t="n">
        <v>5</v>
      </c>
      <c r="E5" s="6" t="n">
        <v>4</v>
      </c>
      <c r="F5" s="7" t="n">
        <f aca="false">D5*E5</f>
        <v>20</v>
      </c>
      <c r="G5" s="4" t="s">
        <v>12</v>
      </c>
      <c r="H5" s="5" t="s">
        <v>13</v>
      </c>
    </row>
    <row r="6" customFormat="false" ht="15" hidden="false" customHeight="false" outlineLevel="0" collapsed="false">
      <c r="A6" s="4" t="n">
        <v>2</v>
      </c>
      <c r="B6" s="5" t="s">
        <v>14</v>
      </c>
      <c r="C6" s="4" t="s">
        <v>11</v>
      </c>
      <c r="D6" s="6" t="n">
        <v>5</v>
      </c>
      <c r="E6" s="6" t="n">
        <v>3</v>
      </c>
      <c r="F6" s="7" t="n">
        <f aca="false">D6*E6</f>
        <v>15</v>
      </c>
      <c r="G6" s="4" t="s">
        <v>12</v>
      </c>
      <c r="H6" s="5" t="s">
        <v>13</v>
      </c>
    </row>
    <row r="7" customFormat="false" ht="15" hidden="false" customHeight="false" outlineLevel="0" collapsed="false">
      <c r="A7" s="4" t="n">
        <v>3</v>
      </c>
      <c r="B7" s="5" t="s">
        <v>15</v>
      </c>
      <c r="C7" s="4" t="s">
        <v>11</v>
      </c>
      <c r="D7" s="6" t="n">
        <v>3</v>
      </c>
      <c r="E7" s="6" t="n">
        <v>5</v>
      </c>
      <c r="F7" s="7" t="n">
        <f aca="false">D7*E7</f>
        <v>15</v>
      </c>
      <c r="G7" s="4" t="s">
        <v>16</v>
      </c>
      <c r="H7" s="5" t="s">
        <v>13</v>
      </c>
    </row>
    <row r="8" customFormat="false" ht="15" hidden="false" customHeight="false" outlineLevel="0" collapsed="false">
      <c r="A8" s="4" t="n">
        <v>4</v>
      </c>
      <c r="B8" s="5" t="s">
        <v>17</v>
      </c>
      <c r="C8" s="4" t="s">
        <v>18</v>
      </c>
      <c r="D8" s="6" t="n">
        <v>3</v>
      </c>
      <c r="E8" s="6" t="n">
        <v>4</v>
      </c>
      <c r="F8" s="7" t="n">
        <f aca="false">D8*E8</f>
        <v>12</v>
      </c>
      <c r="G8" s="4" t="s">
        <v>16</v>
      </c>
      <c r="H8" s="5" t="s">
        <v>13</v>
      </c>
    </row>
    <row r="9" customFormat="false" ht="15" hidden="false" customHeight="false" outlineLevel="0" collapsed="false">
      <c r="A9" s="4" t="n">
        <v>5</v>
      </c>
      <c r="B9" s="5" t="s">
        <v>19</v>
      </c>
      <c r="C9" s="4" t="s">
        <v>20</v>
      </c>
      <c r="D9" s="6" t="n">
        <v>4</v>
      </c>
      <c r="E9" s="6" t="n">
        <v>3</v>
      </c>
      <c r="F9" s="7" t="n">
        <f aca="false">D9*E9</f>
        <v>12</v>
      </c>
      <c r="G9" s="4" t="s">
        <v>12</v>
      </c>
      <c r="H9" s="5" t="s">
        <v>13</v>
      </c>
    </row>
    <row r="10" customFormat="false" ht="15" hidden="false" customHeight="false" outlineLevel="0" collapsed="false">
      <c r="A10" s="8" t="n">
        <v>6</v>
      </c>
      <c r="B10" s="8" t="s">
        <v>21</v>
      </c>
      <c r="C10" s="8" t="s">
        <v>18</v>
      </c>
      <c r="D10" s="9" t="n">
        <v>4</v>
      </c>
      <c r="E10" s="9" t="n">
        <v>3</v>
      </c>
      <c r="F10" s="10" t="n">
        <f aca="false">D10*E10</f>
        <v>12</v>
      </c>
      <c r="G10" s="8" t="s">
        <v>12</v>
      </c>
      <c r="H10" s="8" t="s">
        <v>22</v>
      </c>
    </row>
    <row r="11" customFormat="false" ht="15" hidden="false" customHeight="false" outlineLevel="0" collapsed="false">
      <c r="A11" s="8" t="n">
        <v>7</v>
      </c>
      <c r="B11" s="8" t="s">
        <v>23</v>
      </c>
      <c r="C11" s="8" t="s">
        <v>11</v>
      </c>
      <c r="D11" s="9" t="n">
        <v>2</v>
      </c>
      <c r="E11" s="9" t="n">
        <v>5</v>
      </c>
      <c r="F11" s="10" t="n">
        <f aca="false">D11*E11</f>
        <v>10</v>
      </c>
      <c r="G11" s="8" t="s">
        <v>24</v>
      </c>
      <c r="H11" s="8"/>
    </row>
    <row r="12" customFormat="false" ht="15" hidden="false" customHeight="false" outlineLevel="0" collapsed="false">
      <c r="A12" s="8" t="n">
        <v>8</v>
      </c>
      <c r="B12" s="8" t="s">
        <v>25</v>
      </c>
      <c r="C12" s="8" t="s">
        <v>26</v>
      </c>
      <c r="D12" s="9" t="n">
        <v>2</v>
      </c>
      <c r="E12" s="9" t="n">
        <v>4</v>
      </c>
      <c r="F12" s="10" t="n">
        <f aca="false">D12*E12</f>
        <v>8</v>
      </c>
      <c r="G12" s="8" t="s">
        <v>24</v>
      </c>
      <c r="H12" s="8"/>
    </row>
    <row r="13" customFormat="false" ht="15" hidden="false" customHeight="false" outlineLevel="0" collapsed="false">
      <c r="A13" s="8" t="n">
        <v>9</v>
      </c>
      <c r="B13" s="8" t="s">
        <v>27</v>
      </c>
      <c r="C13" s="8" t="s">
        <v>20</v>
      </c>
      <c r="D13" s="9" t="n">
        <v>4</v>
      </c>
      <c r="E13" s="9" t="n">
        <v>2</v>
      </c>
      <c r="F13" s="10" t="n">
        <f aca="false">D13*E13</f>
        <v>8</v>
      </c>
      <c r="G13" s="8" t="s">
        <v>12</v>
      </c>
      <c r="H13" s="8"/>
    </row>
    <row r="14" customFormat="false" ht="15" hidden="false" customHeight="false" outlineLevel="0" collapsed="false">
      <c r="A14" s="8" t="n">
        <v>10</v>
      </c>
      <c r="B14" s="8" t="s">
        <v>28</v>
      </c>
      <c r="C14" s="8" t="s">
        <v>20</v>
      </c>
      <c r="D14" s="9" t="n">
        <v>2</v>
      </c>
      <c r="E14" s="9" t="n">
        <v>3</v>
      </c>
      <c r="F14" s="10" t="n">
        <f aca="false">D14*E14</f>
        <v>6</v>
      </c>
      <c r="G14" s="8" t="s">
        <v>29</v>
      </c>
      <c r="H14" s="8"/>
    </row>
    <row r="15" customFormat="false" ht="15" hidden="false" customHeight="false" outlineLevel="0" collapsed="false">
      <c r="A15" s="8" t="n">
        <v>11</v>
      </c>
      <c r="B15" s="8" t="s">
        <v>30</v>
      </c>
      <c r="C15" s="8" t="s">
        <v>11</v>
      </c>
      <c r="D15" s="9" t="n">
        <v>1</v>
      </c>
      <c r="E15" s="9" t="n">
        <v>4</v>
      </c>
      <c r="F15" s="10" t="n">
        <f aca="false">D15*E15</f>
        <v>4</v>
      </c>
      <c r="G15" s="8" t="s">
        <v>31</v>
      </c>
      <c r="H15" s="8"/>
    </row>
    <row r="16" customFormat="false" ht="15" hidden="false" customHeight="false" outlineLevel="0" collapsed="false">
      <c r="A16" s="8" t="n">
        <v>12</v>
      </c>
      <c r="B16" s="8" t="s">
        <v>32</v>
      </c>
      <c r="C16" s="8" t="s">
        <v>11</v>
      </c>
      <c r="D16" s="9" t="n">
        <v>2</v>
      </c>
      <c r="E16" s="9" t="n">
        <v>2</v>
      </c>
      <c r="F16" s="10" t="n">
        <f aca="false">D16*E16</f>
        <v>4</v>
      </c>
      <c r="G16" s="8" t="s">
        <v>31</v>
      </c>
      <c r="H16" s="8"/>
    </row>
    <row r="17" customFormat="false" ht="15" hidden="false" customHeight="false" outlineLevel="0" collapsed="false">
      <c r="A17" s="8" t="n">
        <v>13</v>
      </c>
      <c r="B17" s="8" t="s">
        <v>33</v>
      </c>
      <c r="C17" s="8" t="s">
        <v>11</v>
      </c>
      <c r="D17" s="9" t="n">
        <v>1</v>
      </c>
      <c r="E17" s="9" t="n">
        <v>1</v>
      </c>
      <c r="F17" s="10" t="n">
        <f aca="false">D17*E17</f>
        <v>1</v>
      </c>
      <c r="G17" s="8" t="s">
        <v>31</v>
      </c>
      <c r="H17" s="8"/>
    </row>
    <row r="18" customFormat="false" ht="15" hidden="false" customHeight="false" outlineLevel="0" collapsed="false">
      <c r="A18" s="8" t="n">
        <v>14</v>
      </c>
      <c r="B18" s="8" t="s">
        <v>34</v>
      </c>
      <c r="C18" s="8" t="s">
        <v>11</v>
      </c>
      <c r="D18" s="9"/>
      <c r="E18" s="9"/>
      <c r="F18" s="10" t="s">
        <v>35</v>
      </c>
      <c r="G18" s="8" t="s">
        <v>31</v>
      </c>
      <c r="H18" s="8" t="s">
        <v>36</v>
      </c>
    </row>
    <row r="20" customFormat="false" ht="15" hidden="false" customHeight="false" outlineLevel="0" collapsed="false">
      <c r="B20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11" t="s">
        <v>3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</row>
    <row r="5" customFormat="false" ht="15" hidden="false" customHeight="false" outlineLevel="0" collapsed="false">
      <c r="A5" s="8" t="s">
        <v>45</v>
      </c>
      <c r="B5" s="8" t="s">
        <v>46</v>
      </c>
      <c r="C5" s="12" t="n">
        <v>600</v>
      </c>
      <c r="D5" s="8" t="s">
        <v>47</v>
      </c>
      <c r="E5" s="13" t="s">
        <v>48</v>
      </c>
      <c r="F5" s="8" t="s">
        <v>49</v>
      </c>
    </row>
    <row r="6" customFormat="false" ht="15" hidden="false" customHeight="false" outlineLevel="0" collapsed="false">
      <c r="A6" s="8" t="s">
        <v>45</v>
      </c>
      <c r="B6" s="8" t="s">
        <v>50</v>
      </c>
      <c r="C6" s="14" t="n">
        <v>0.8</v>
      </c>
      <c r="D6" s="8" t="s">
        <v>51</v>
      </c>
      <c r="E6" s="13" t="s">
        <v>52</v>
      </c>
      <c r="F6" s="8" t="s">
        <v>53</v>
      </c>
    </row>
    <row r="7" customFormat="false" ht="15" hidden="false" customHeight="false" outlineLevel="0" collapsed="false">
      <c r="A7" s="8" t="s">
        <v>45</v>
      </c>
      <c r="B7" s="8" t="s">
        <v>54</v>
      </c>
      <c r="C7" s="15" t="n">
        <v>0.02</v>
      </c>
      <c r="D7" s="8" t="s">
        <v>51</v>
      </c>
      <c r="E7" s="13" t="s">
        <v>48</v>
      </c>
      <c r="F7" s="8" t="s">
        <v>55</v>
      </c>
    </row>
    <row r="8" customFormat="false" ht="15" hidden="false" customHeight="false" outlineLevel="0" collapsed="false">
      <c r="A8" s="8" t="s">
        <v>45</v>
      </c>
      <c r="B8" s="8" t="s">
        <v>56</v>
      </c>
      <c r="C8" s="12" t="n">
        <v>3000</v>
      </c>
      <c r="D8" s="8" t="s">
        <v>57</v>
      </c>
      <c r="E8" s="13" t="s">
        <v>48</v>
      </c>
      <c r="F8" s="8" t="s">
        <v>58</v>
      </c>
    </row>
    <row r="9" customFormat="false" ht="15" hidden="false" customHeight="false" outlineLevel="0" collapsed="false">
      <c r="A9" s="8" t="s">
        <v>59</v>
      </c>
      <c r="B9" s="8" t="s">
        <v>46</v>
      </c>
      <c r="C9" s="16" t="n">
        <v>4</v>
      </c>
      <c r="D9" s="8" t="s">
        <v>60</v>
      </c>
      <c r="E9" s="13" t="s">
        <v>48</v>
      </c>
      <c r="F9" s="8" t="s">
        <v>61</v>
      </c>
    </row>
    <row r="10" customFormat="false" ht="15" hidden="false" customHeight="false" outlineLevel="0" collapsed="false">
      <c r="A10" s="8" t="s">
        <v>59</v>
      </c>
      <c r="B10" s="8" t="s">
        <v>50</v>
      </c>
      <c r="C10" s="14" t="n">
        <v>0.85</v>
      </c>
      <c r="D10" s="8" t="s">
        <v>51</v>
      </c>
      <c r="E10" s="13" t="s">
        <v>52</v>
      </c>
      <c r="F10" s="8" t="s">
        <v>62</v>
      </c>
    </row>
    <row r="11" customFormat="false" ht="15" hidden="false" customHeight="false" outlineLevel="0" collapsed="false">
      <c r="A11" s="8" t="s">
        <v>59</v>
      </c>
      <c r="B11" s="8" t="s">
        <v>54</v>
      </c>
      <c r="C11" s="15" t="n">
        <v>0.015</v>
      </c>
      <c r="D11" s="8" t="s">
        <v>51</v>
      </c>
      <c r="E11" s="13" t="s">
        <v>48</v>
      </c>
      <c r="F11" s="8" t="s">
        <v>63</v>
      </c>
    </row>
    <row r="12" customFormat="false" ht="15" hidden="false" customHeight="false" outlineLevel="0" collapsed="false">
      <c r="A12" s="8" t="s">
        <v>59</v>
      </c>
      <c r="B12" s="8" t="s">
        <v>56</v>
      </c>
      <c r="C12" s="12" t="n">
        <v>30</v>
      </c>
      <c r="D12" s="8" t="s">
        <v>64</v>
      </c>
      <c r="E12" s="13" t="s">
        <v>48</v>
      </c>
      <c r="F12" s="8" t="s">
        <v>65</v>
      </c>
    </row>
    <row r="13" customFormat="false" ht="15" hidden="false" customHeight="false" outlineLevel="0" collapsed="false">
      <c r="A13" s="8" t="s">
        <v>66</v>
      </c>
      <c r="B13" s="8" t="s">
        <v>67</v>
      </c>
      <c r="C13" s="12" t="n">
        <v>18</v>
      </c>
      <c r="D13" s="8" t="s">
        <v>68</v>
      </c>
      <c r="E13" s="13" t="s">
        <v>48</v>
      </c>
      <c r="F13" s="8" t="s">
        <v>69</v>
      </c>
    </row>
    <row r="14" customFormat="false" ht="15" hidden="false" customHeight="false" outlineLevel="0" collapsed="false">
      <c r="A14" s="8" t="s">
        <v>66</v>
      </c>
      <c r="B14" s="8" t="s">
        <v>50</v>
      </c>
      <c r="C14" s="14" t="n">
        <v>0.85</v>
      </c>
      <c r="D14" s="8" t="s">
        <v>51</v>
      </c>
      <c r="E14" s="13" t="s">
        <v>52</v>
      </c>
      <c r="F14" s="8" t="s">
        <v>70</v>
      </c>
    </row>
    <row r="15" customFormat="false" ht="15" hidden="false" customHeight="false" outlineLevel="0" collapsed="false">
      <c r="A15" s="8" t="s">
        <v>66</v>
      </c>
      <c r="B15" s="8" t="s">
        <v>54</v>
      </c>
      <c r="C15" s="15" t="n">
        <v>0.007</v>
      </c>
      <c r="D15" s="8" t="s">
        <v>51</v>
      </c>
      <c r="E15" s="13" t="s">
        <v>48</v>
      </c>
      <c r="F15" s="8" t="s">
        <v>71</v>
      </c>
    </row>
    <row r="16" customFormat="false" ht="15" hidden="false" customHeight="false" outlineLevel="0" collapsed="false">
      <c r="A16" s="8" t="s">
        <v>66</v>
      </c>
      <c r="B16" s="8" t="s">
        <v>56</v>
      </c>
      <c r="C16" s="12" t="n">
        <v>10</v>
      </c>
      <c r="D16" s="8" t="s">
        <v>64</v>
      </c>
      <c r="E16" s="13" t="s">
        <v>48</v>
      </c>
      <c r="F16" s="8" t="s">
        <v>72</v>
      </c>
    </row>
    <row r="17" customFormat="false" ht="15" hidden="false" customHeight="false" outlineLevel="0" collapsed="false">
      <c r="A17" s="8" t="s">
        <v>73</v>
      </c>
      <c r="B17" s="8" t="s">
        <v>74</v>
      </c>
      <c r="C17" s="12" t="n">
        <v>8</v>
      </c>
      <c r="D17" s="8" t="s">
        <v>75</v>
      </c>
      <c r="E17" s="13" t="s">
        <v>48</v>
      </c>
      <c r="F17" s="8" t="s">
        <v>76</v>
      </c>
    </row>
    <row r="18" customFormat="false" ht="15" hidden="false" customHeight="false" outlineLevel="0" collapsed="false">
      <c r="A18" s="8" t="s">
        <v>73</v>
      </c>
      <c r="B18" s="8" t="s">
        <v>50</v>
      </c>
      <c r="C18" s="15" t="n">
        <v>0.45</v>
      </c>
      <c r="D18" s="8" t="s">
        <v>51</v>
      </c>
      <c r="E18" s="13" t="s">
        <v>52</v>
      </c>
      <c r="F18" s="8" t="s">
        <v>77</v>
      </c>
    </row>
    <row r="19" customFormat="false" ht="15" hidden="false" customHeight="false" outlineLevel="0" collapsed="false">
      <c r="A19" s="8" t="s">
        <v>73</v>
      </c>
      <c r="B19" s="8" t="s">
        <v>54</v>
      </c>
      <c r="C19" s="15" t="n">
        <v>0.01</v>
      </c>
      <c r="D19" s="8" t="s">
        <v>51</v>
      </c>
      <c r="E19" s="13" t="s">
        <v>48</v>
      </c>
      <c r="F19" s="8" t="s">
        <v>78</v>
      </c>
    </row>
    <row r="20" customFormat="false" ht="15" hidden="false" customHeight="false" outlineLevel="0" collapsed="false">
      <c r="A20" s="8" t="s">
        <v>73</v>
      </c>
      <c r="B20" s="8" t="s">
        <v>56</v>
      </c>
      <c r="C20" s="12" t="n">
        <v>250</v>
      </c>
      <c r="D20" s="8" t="s">
        <v>79</v>
      </c>
      <c r="E20" s="13" t="s">
        <v>48</v>
      </c>
      <c r="F20" s="8" t="s">
        <v>80</v>
      </c>
    </row>
    <row r="21" customFormat="false" ht="15" hidden="false" customHeight="false" outlineLevel="0" collapsed="false">
      <c r="A21" s="8" t="s">
        <v>81</v>
      </c>
      <c r="B21" s="8" t="s">
        <v>82</v>
      </c>
      <c r="C21" s="17" t="n">
        <v>40</v>
      </c>
      <c r="D21" s="8" t="s">
        <v>83</v>
      </c>
      <c r="E21" s="13" t="s">
        <v>48</v>
      </c>
      <c r="F21" s="8" t="s">
        <v>84</v>
      </c>
    </row>
    <row r="22" customFormat="false" ht="15" hidden="false" customHeight="false" outlineLevel="0" collapsed="false">
      <c r="A22" s="8" t="s">
        <v>81</v>
      </c>
      <c r="B22" s="8" t="s">
        <v>85</v>
      </c>
      <c r="C22" s="12" t="n">
        <v>35000</v>
      </c>
      <c r="D22" s="8" t="s">
        <v>86</v>
      </c>
      <c r="E22" s="13" t="s">
        <v>48</v>
      </c>
      <c r="F22" s="8" t="s">
        <v>87</v>
      </c>
    </row>
    <row r="23" customFormat="false" ht="15" hidden="false" customHeight="false" outlineLevel="0" collapsed="false">
      <c r="A23" s="8" t="s">
        <v>81</v>
      </c>
      <c r="B23" s="8" t="s">
        <v>88</v>
      </c>
      <c r="C23" s="14" t="n">
        <v>0.025</v>
      </c>
      <c r="D23" s="8" t="s">
        <v>51</v>
      </c>
      <c r="E23" s="13" t="s">
        <v>52</v>
      </c>
      <c r="F23" s="8" t="s">
        <v>89</v>
      </c>
    </row>
    <row r="24" customFormat="false" ht="15" hidden="false" customHeight="false" outlineLevel="0" collapsed="false">
      <c r="A24" s="8" t="s">
        <v>81</v>
      </c>
      <c r="B24" s="8" t="s">
        <v>50</v>
      </c>
      <c r="C24" s="14" t="n">
        <v>0.9</v>
      </c>
      <c r="D24" s="8" t="s">
        <v>51</v>
      </c>
      <c r="E24" s="13" t="s">
        <v>52</v>
      </c>
      <c r="F24" s="8" t="s">
        <v>90</v>
      </c>
    </row>
    <row r="25" customFormat="false" ht="15" hidden="false" customHeight="false" outlineLevel="0" collapsed="false">
      <c r="A25" s="8" t="s">
        <v>81</v>
      </c>
      <c r="B25" s="8" t="s">
        <v>54</v>
      </c>
      <c r="C25" s="15" t="n">
        <v>0.025</v>
      </c>
      <c r="D25" s="8" t="s">
        <v>51</v>
      </c>
      <c r="E25" s="13" t="s">
        <v>48</v>
      </c>
      <c r="F25" s="8" t="s">
        <v>91</v>
      </c>
    </row>
    <row r="26" customFormat="false" ht="15" hidden="false" customHeight="false" outlineLevel="0" collapsed="false">
      <c r="A26" s="8" t="s">
        <v>81</v>
      </c>
      <c r="B26" s="8" t="s">
        <v>56</v>
      </c>
      <c r="C26" s="12" t="n">
        <v>3000</v>
      </c>
      <c r="D26" s="8" t="s">
        <v>57</v>
      </c>
      <c r="E26" s="13" t="s">
        <v>48</v>
      </c>
      <c r="F26" s="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35.05" hidden="false" customHeight="false" outlineLevel="0" collapsed="false">
      <c r="A4" s="18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</row>
    <row r="5" customFormat="false" ht="15" hidden="false" customHeight="false" outlineLevel="0" collapsed="false">
      <c r="A5" s="5" t="s">
        <v>101</v>
      </c>
      <c r="B5" s="19" t="s">
        <v>102</v>
      </c>
      <c r="C5" s="19" t="s">
        <v>102</v>
      </c>
      <c r="D5" s="19" t="s">
        <v>103</v>
      </c>
      <c r="E5" s="19" t="s">
        <v>104</v>
      </c>
      <c r="F5" s="19" t="s">
        <v>105</v>
      </c>
    </row>
    <row r="6" customFormat="false" ht="15" hidden="false" customHeight="false" outlineLevel="0" collapsed="false">
      <c r="A6" s="5" t="s">
        <v>106</v>
      </c>
      <c r="B6" s="19" t="s">
        <v>107</v>
      </c>
      <c r="C6" s="19" t="s">
        <v>108</v>
      </c>
      <c r="D6" s="19" t="s">
        <v>108</v>
      </c>
      <c r="E6" s="19" t="s">
        <v>109</v>
      </c>
      <c r="F6" s="19" t="s">
        <v>107</v>
      </c>
    </row>
    <row r="7" customFormat="false" ht="15" hidden="false" customHeight="false" outlineLevel="0" collapsed="false">
      <c r="A7" s="5" t="s">
        <v>110</v>
      </c>
      <c r="B7" s="20" t="n">
        <f aca="false">Premissas!C5</f>
        <v>600</v>
      </c>
      <c r="C7" s="21" t="n">
        <f aca="false">Premissas!C9</f>
        <v>4</v>
      </c>
      <c r="D7" s="20" t="n">
        <f aca="false">Premissas!C13/12</f>
        <v>1.5</v>
      </c>
      <c r="E7" s="20" t="n">
        <f aca="false">Premissas!C17</f>
        <v>8</v>
      </c>
      <c r="F7" s="20" t="n">
        <f aca="false">Premissas!C21*Premissas!C22*Premissas!C23/12</f>
        <v>2916.66666666667</v>
      </c>
    </row>
    <row r="8" customFormat="false" ht="15" hidden="false" customHeight="false" outlineLevel="0" collapsed="false">
      <c r="A8" s="5" t="s">
        <v>50</v>
      </c>
      <c r="B8" s="22" t="n">
        <f aca="false">Premissas!C6</f>
        <v>0.8</v>
      </c>
      <c r="C8" s="22" t="n">
        <f aca="false">Premissas!C10</f>
        <v>0.85</v>
      </c>
      <c r="D8" s="22" t="n">
        <f aca="false">Premissas!C14</f>
        <v>0.85</v>
      </c>
      <c r="E8" s="22" t="n">
        <f aca="false">Premissas!C18</f>
        <v>0.45</v>
      </c>
      <c r="F8" s="22" t="n">
        <f aca="false">Premissas!C24</f>
        <v>0.9</v>
      </c>
    </row>
    <row r="9" customFormat="false" ht="15" hidden="false" customHeight="false" outlineLevel="0" collapsed="false">
      <c r="A9" s="5" t="s">
        <v>54</v>
      </c>
      <c r="B9" s="22" t="n">
        <f aca="false">Premissas!C7</f>
        <v>0.02</v>
      </c>
      <c r="C9" s="22" t="n">
        <f aca="false">Premissas!C11</f>
        <v>0.015</v>
      </c>
      <c r="D9" s="22" t="n">
        <f aca="false">Premissas!C15</f>
        <v>0.007</v>
      </c>
      <c r="E9" s="22" t="n">
        <f aca="false">Premissas!C19</f>
        <v>0.01</v>
      </c>
      <c r="F9" s="22" t="n">
        <f aca="false">Premissas!C25</f>
        <v>0.025</v>
      </c>
    </row>
    <row r="10" customFormat="false" ht="15" hidden="false" customHeight="false" outlineLevel="0" collapsed="false">
      <c r="A10" s="5" t="s">
        <v>111</v>
      </c>
      <c r="B10" s="23" t="n">
        <f aca="false">1/B9</f>
        <v>50</v>
      </c>
      <c r="C10" s="23" t="n">
        <f aca="false">1/C9</f>
        <v>66.6666666666667</v>
      </c>
      <c r="D10" s="23" t="n">
        <f aca="false">1/D9</f>
        <v>142.857142857143</v>
      </c>
      <c r="E10" s="23" t="n">
        <f aca="false">1/E9</f>
        <v>100</v>
      </c>
      <c r="F10" s="23" t="n">
        <f aca="false">1/F9</f>
        <v>40</v>
      </c>
    </row>
    <row r="11" customFormat="false" ht="15" hidden="false" customHeight="false" outlineLevel="0" collapsed="false">
      <c r="A11" s="5" t="s">
        <v>112</v>
      </c>
      <c r="B11" s="24" t="n">
        <f aca="false">B7*B8*B10</f>
        <v>24000</v>
      </c>
      <c r="C11" s="24" t="n">
        <f aca="false">C7*C8*C10</f>
        <v>226.666666666667</v>
      </c>
      <c r="D11" s="24" t="n">
        <f aca="false">D7*D8*D10</f>
        <v>182.142857142857</v>
      </c>
      <c r="E11" s="24" t="n">
        <f aca="false">E7*E8*E10</f>
        <v>360</v>
      </c>
      <c r="F11" s="24" t="n">
        <f aca="false">F7*F8*F10</f>
        <v>105000</v>
      </c>
    </row>
    <row r="12" customFormat="false" ht="15" hidden="false" customHeight="false" outlineLevel="0" collapsed="false">
      <c r="A12" s="5" t="s">
        <v>56</v>
      </c>
      <c r="B12" s="20" t="n">
        <f aca="false">Premissas!C8</f>
        <v>3000</v>
      </c>
      <c r="C12" s="20" t="n">
        <f aca="false">Premissas!C12</f>
        <v>30</v>
      </c>
      <c r="D12" s="20" t="n">
        <f aca="false">Premissas!C16</f>
        <v>10</v>
      </c>
      <c r="E12" s="20" t="n">
        <f aca="false">Premissas!C20</f>
        <v>250</v>
      </c>
      <c r="F12" s="20" t="n">
        <f aca="false">Premissas!C26</f>
        <v>3000</v>
      </c>
    </row>
    <row r="13" customFormat="false" ht="15" hidden="false" customHeight="false" outlineLevel="0" collapsed="false">
      <c r="A13" s="5" t="s">
        <v>113</v>
      </c>
      <c r="B13" s="25" t="n">
        <f aca="false">B11/B12</f>
        <v>8</v>
      </c>
      <c r="C13" s="25" t="n">
        <f aca="false">C11/C12</f>
        <v>7.55555555555556</v>
      </c>
      <c r="D13" s="25" t="n">
        <f aca="false">D11/D12</f>
        <v>18.2142857142857</v>
      </c>
      <c r="E13" s="25" t="n">
        <f aca="false">E11/E12</f>
        <v>1.44</v>
      </c>
      <c r="F13" s="25" t="n">
        <f aca="false">F11/F12</f>
        <v>35</v>
      </c>
    </row>
    <row r="14" customFormat="false" ht="15" hidden="false" customHeight="false" outlineLevel="0" collapsed="false">
      <c r="A14" s="5" t="s">
        <v>114</v>
      </c>
      <c r="B14" s="26" t="n">
        <f aca="false">B12/(B7*B8)</f>
        <v>6.25</v>
      </c>
      <c r="C14" s="26" t="n">
        <f aca="false">C12/(C7*C8)</f>
        <v>8.82352941176471</v>
      </c>
      <c r="D14" s="26" t="n">
        <f aca="false">D12/(D7*D8)</f>
        <v>7.84313725490196</v>
      </c>
      <c r="E14" s="26" t="n">
        <f aca="false">E12/(E7*E8)</f>
        <v>69.4444444444444</v>
      </c>
      <c r="F14" s="26" t="n">
        <f aca="false">F12/(F7*F8)</f>
        <v>1.14285714285714</v>
      </c>
    </row>
    <row r="15" customFormat="false" ht="15" hidden="false" customHeight="false" outlineLevel="0" collapsed="false">
      <c r="A15" s="5" t="s">
        <v>115</v>
      </c>
      <c r="B15" s="13" t="str">
        <f aca="false">IF(AND(B13&gt;=3,B14&lt;12),"PASSA","REVISAR")</f>
        <v>PASSA</v>
      </c>
      <c r="C15" s="13" t="str">
        <f aca="false">IF(AND(C13&gt;=3,C14&lt;12),"PASSA","REVISAR")</f>
        <v>PASSA</v>
      </c>
      <c r="D15" s="13" t="str">
        <f aca="false">IF(AND(D13&gt;=3,D14&lt;12),"PASSA","REVISAR")</f>
        <v>PASSA</v>
      </c>
      <c r="E15" s="13" t="str">
        <f aca="false">IF(AND(E13&gt;=3,E14&lt;12),"PASSA","REVISAR")</f>
        <v>REVISAR</v>
      </c>
      <c r="F15" s="13" t="str">
        <f aca="false">IF(AND(F13&gt;=3,F14&lt;12),"PASSA","REVISAR")</f>
        <v>PASSA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27" t="s">
        <v>117</v>
      </c>
    </row>
    <row r="4" customFormat="false" ht="45.75" hidden="false" customHeight="true" outlineLevel="0" collapsed="false">
      <c r="A4" s="28" t="s">
        <v>118</v>
      </c>
      <c r="B4" s="28"/>
      <c r="C4" s="28"/>
      <c r="D4" s="28"/>
      <c r="E4" s="28"/>
      <c r="F4" s="28"/>
    </row>
    <row r="6" customFormat="false" ht="15" hidden="false" customHeight="false" outlineLevel="0" collapsed="false">
      <c r="A6" s="29" t="s">
        <v>119</v>
      </c>
    </row>
    <row r="7" customFormat="false" ht="45.75" hidden="false" customHeight="true" outlineLevel="0" collapsed="false">
      <c r="A7" s="28" t="s">
        <v>120</v>
      </c>
      <c r="B7" s="28"/>
      <c r="C7" s="28"/>
      <c r="D7" s="28"/>
      <c r="E7" s="28"/>
      <c r="F7" s="28"/>
    </row>
    <row r="9" customFormat="false" ht="15" hidden="false" customHeight="false" outlineLevel="0" collapsed="false">
      <c r="A9" s="29" t="s">
        <v>121</v>
      </c>
    </row>
    <row r="10" customFormat="false" ht="45.75" hidden="false" customHeight="true" outlineLevel="0" collapsed="false">
      <c r="A10" s="28" t="s">
        <v>122</v>
      </c>
      <c r="B10" s="28"/>
      <c r="C10" s="28"/>
      <c r="D10" s="28"/>
      <c r="E10" s="28"/>
      <c r="F10" s="28"/>
    </row>
    <row r="12" customFormat="false" ht="15" hidden="false" customHeight="false" outlineLevel="0" collapsed="false">
      <c r="A12" s="27" t="s">
        <v>123</v>
      </c>
    </row>
    <row r="13" customFormat="false" ht="45.75" hidden="false" customHeight="true" outlineLevel="0" collapsed="false">
      <c r="A13" s="28" t="s">
        <v>124</v>
      </c>
      <c r="B13" s="28"/>
      <c r="C13" s="28"/>
      <c r="D13" s="28"/>
      <c r="E13" s="28"/>
      <c r="F13" s="28"/>
    </row>
    <row r="15" customFormat="false" ht="15" hidden="false" customHeight="false" outlineLevel="0" collapsed="false">
      <c r="A15" s="27" t="s">
        <v>125</v>
      </c>
    </row>
    <row r="16" customFormat="false" ht="45.75" hidden="false" customHeight="true" outlineLevel="0" collapsed="false">
      <c r="A16" s="28" t="s">
        <v>126</v>
      </c>
      <c r="B16" s="28"/>
      <c r="C16" s="28"/>
      <c r="D16" s="28"/>
      <c r="E16" s="28"/>
      <c r="F16" s="28"/>
    </row>
    <row r="18" customFormat="false" ht="15" hidden="false" customHeight="false" outlineLevel="0" collapsed="false">
      <c r="A18" s="27" t="s">
        <v>127</v>
      </c>
    </row>
    <row r="19" customFormat="false" ht="45.75" hidden="false" customHeight="true" outlineLevel="0" collapsed="false">
      <c r="A19" s="28" t="s">
        <v>128</v>
      </c>
      <c r="B19" s="28"/>
      <c r="C19" s="28"/>
      <c r="D19" s="28"/>
      <c r="E19" s="28"/>
      <c r="F19" s="28"/>
    </row>
    <row r="21" customFormat="false" ht="15" hidden="false" customHeight="false" outlineLevel="0" collapsed="false">
      <c r="A21" s="27" t="s">
        <v>129</v>
      </c>
    </row>
    <row r="22" customFormat="false" ht="45.75" hidden="false" customHeight="true" outlineLevel="0" collapsed="false">
      <c r="A22" s="28" t="s">
        <v>130</v>
      </c>
      <c r="B22" s="28"/>
      <c r="C22" s="28"/>
      <c r="D22" s="28"/>
      <c r="E22" s="28"/>
      <c r="F22" s="28"/>
    </row>
    <row r="24" customFormat="false" ht="15" hidden="false" customHeight="false" outlineLevel="0" collapsed="false">
      <c r="A24" s="27" t="s">
        <v>131</v>
      </c>
    </row>
    <row r="25" customFormat="false" ht="45.75" hidden="false" customHeight="true" outlineLevel="0" collapsed="false">
      <c r="A25" s="28" t="s">
        <v>132</v>
      </c>
      <c r="B25" s="28"/>
      <c r="C25" s="28"/>
      <c r="D25" s="28"/>
      <c r="E25" s="28"/>
      <c r="F25" s="28"/>
    </row>
  </sheetData>
  <mergeCells count="8">
    <mergeCell ref="A4:F4"/>
    <mergeCell ref="A7:F7"/>
    <mergeCell ref="A10:F10"/>
    <mergeCell ref="A13:F13"/>
    <mergeCell ref="A16:F16"/>
    <mergeCell ref="A19:F19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2026-06-30T00:23:35Z</dcterms:created>
  <dc:creator>openpyxl</dc:creator>
  <dc:description/>
  <dc:language>en-US</dc:language>
  <cp:lastModifiedBy/>
  <dcterms:modified xsi:type="dcterms:W3CDTF">2026-06-30T00:23:35Z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